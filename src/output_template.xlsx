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59217444-9616-B04E-B185-3F6ACD979733}" xr6:coauthVersionLast="47" xr6:coauthVersionMax="47" xr10:uidLastSave="{00000000-0000-0000-0000-000000000000}"/>
  <bookViews>
    <workbookView xWindow="160" yWindow="880" windowWidth="31920" windowHeight="25700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6" l="1"/>
  <c r="D14" i="6"/>
  <c r="K15" i="2" l="1"/>
  <c r="L15" i="2"/>
  <c r="M15" i="2"/>
  <c r="N15" i="2"/>
  <c r="P15" i="2"/>
  <c r="O15" i="2" s="1"/>
  <c r="J14" i="2"/>
  <c r="K14" i="2"/>
  <c r="L14" i="2"/>
  <c r="M14" i="2"/>
  <c r="N14" i="2"/>
  <c r="O14" i="2"/>
  <c r="K13" i="2"/>
  <c r="L13" i="2"/>
  <c r="M13" i="2"/>
  <c r="N13" i="2"/>
  <c r="J13" i="2"/>
  <c r="O13" i="2"/>
  <c r="U1" i="2"/>
  <c r="I14" i="2" l="1"/>
  <c r="J15" i="2"/>
  <c r="I15" i="2"/>
  <c r="F14" i="6" s="1"/>
  <c r="I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5" authorId="0" shapeId="0" xr:uid="{4315FFEC-AB82-41F7-A6C1-36FA2A5FD0E1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За ціником 2003 року (радянські боєприпаси)</t>
        </r>
      </text>
    </comment>
    <comment ref="P14" authorId="0" shapeId="0" xr:uid="{CA551711-D28C-434B-8246-D4D70B4C4648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Тут надійшло</t>
        </r>
      </text>
    </comment>
  </commentList>
</comments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<sst xmlns="http://schemas.openxmlformats.org/spreadsheetml/2006/main" count="60" uniqueCount="51">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</sst>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4" fillId="0" borderId="0"/>
  </cellStyleXfs>
  <cellXfs count="103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13" xfId="1" applyFont="1" applyBorder="1" applyAlignment="1">
      <alignment horizontal="center" vertical="center" wrapText="1"/>
    </xf>
    <xf numFmtId="0" fontId="17" fillId="4" borderId="3" xfId="1" applyFont="1" applyFill="1" applyBorder="1" applyAlignment="1">
      <alignment horizontal="center" vertical="center" wrapText="1"/>
    </xf>
    <xf numFmtId="0" fontId="17" fillId="4" borderId="13" xfId="1" applyFont="1" applyFill="1" applyBorder="1" applyAlignment="1">
      <alignment horizontal="center" vertical="center" wrapText="1"/>
    </xf>
    <xf numFmtId="0" fontId="17" fillId="4" borderId="6" xfId="1" applyFont="1" applyFill="1" applyBorder="1" applyAlignment="1">
      <alignment horizontal="center" vertical="center" wrapText="1"/>
    </xf>
    <xf numFmtId="0" fontId="17" fillId="4" borderId="14" xfId="1" applyFont="1" applyFill="1" applyBorder="1" applyAlignment="1">
      <alignment horizontal="center" vertical="center" wrapText="1"/>
    </xf>
    <xf numFmtId="0" fontId="17" fillId="0" borderId="0" xfId="1" applyFont="1" applyAlignment="1">
      <alignment horizontal="center" vertical="center"/>
    </xf>
    <xf numFmtId="164" fontId="18" fillId="0" borderId="3" xfId="1" applyNumberFormat="1" applyFont="1" applyBorder="1" applyAlignment="1">
      <alignment horizontal="center" vertical="center" wrapText="1"/>
    </xf>
    <xf numFmtId="165" fontId="18" fillId="0" borderId="3" xfId="1" applyNumberFormat="1" applyFont="1" applyBorder="1" applyAlignment="1">
      <alignment horizontal="center" vertical="center"/>
    </xf>
    <xf numFmtId="165" fontId="18" fillId="0" borderId="3" xfId="1" applyNumberFormat="1" applyFont="1" applyBorder="1" applyAlignment="1">
      <alignment horizontal="center" vertical="center" wrapText="1"/>
    </xf>
    <xf numFmtId="165" fontId="18" fillId="0" borderId="13" xfId="1" applyNumberFormat="1" applyFont="1" applyBorder="1" applyAlignment="1">
      <alignment horizontal="center" vertical="center" wrapText="1"/>
    </xf>
    <xf numFmtId="165" fontId="19" fillId="3" borderId="6" xfId="1" applyNumberFormat="1" applyFont="1" applyFill="1" applyBorder="1" applyAlignment="1">
      <alignment horizontal="center" vertical="center" wrapText="1"/>
    </xf>
    <xf numFmtId="165" fontId="19" fillId="0" borderId="3" xfId="1" applyNumberFormat="1" applyFont="1" applyBorder="1" applyAlignment="1">
      <alignment horizontal="center" vertical="center" wrapText="1"/>
    </xf>
    <xf numFmtId="165" fontId="19" fillId="0" borderId="6" xfId="1" applyNumberFormat="1" applyFont="1" applyBorder="1" applyAlignment="1">
      <alignment horizontal="center" vertical="center" wrapText="1"/>
    </xf>
    <xf numFmtId="165" fontId="18" fillId="0" borderId="0" xfId="1" applyNumberFormat="1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21" fillId="0" borderId="3" xfId="1" applyNumberFormat="1" applyFont="1" applyBorder="1" applyAlignment="1">
      <alignment horizontal="center" vertical="center" wrapText="1"/>
    </xf>
    <xf numFmtId="165" fontId="21" fillId="0" borderId="6" xfId="1" applyNumberFormat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 wrapText="1"/>
    </xf>
    <xf numFmtId="165" fontId="21" fillId="0" borderId="13" xfId="1" applyNumberFormat="1" applyFont="1" applyBorder="1" applyAlignment="1">
      <alignment horizontal="center" vertical="center" wrapText="1"/>
    </xf>
    <xf numFmtId="165" fontId="22" fillId="3" borderId="6" xfId="1" applyNumberFormat="1" applyFont="1" applyFill="1" applyBorder="1" applyAlignment="1">
      <alignment horizontal="center" vertical="center" wrapText="1"/>
    </xf>
    <xf numFmtId="165" fontId="22" fillId="0" borderId="3" xfId="1" applyNumberFormat="1" applyFont="1" applyBorder="1" applyAlignment="1">
      <alignment horizontal="center" vertical="center" wrapText="1"/>
    </xf>
    <xf numFmtId="165" fontId="22" fillId="0" borderId="6" xfId="1" applyNumberFormat="1" applyFont="1" applyBorder="1" applyAlignment="1">
      <alignment horizontal="center" vertical="center" wrapText="1"/>
    </xf>
    <xf numFmtId="165" fontId="21" fillId="0" borderId="0" xfId="1" applyNumberFormat="1" applyFont="1" applyAlignment="1">
      <alignment horizontal="center" vertical="center"/>
    </xf>
    <xf numFmtId="0" fontId="1" fillId="0" borderId="0" xfId="1"/>
    <xf numFmtId="0" fontId="15" fillId="0" borderId="13" xfId="1" applyFont="1" applyBorder="1" applyAlignment="1">
      <alignment horizontal="center" vertical="center" textRotation="90" wrapText="1"/>
    </xf>
    <xf numFmtId="0" fontId="25" fillId="0" borderId="13" xfId="3" applyFont="1" applyBorder="1" applyAlignment="1">
      <alignment horizontal="justify" vertical="center" wrapText="1"/>
    </xf>
    <xf numFmtId="0" fontId="6" fillId="0" borderId="1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1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5" fillId="0" borderId="13" xfId="1" applyFont="1" applyBorder="1" applyAlignment="1">
      <alignment horizontal="center" vertical="center" wrapText="1"/>
    </xf>
    <xf numFmtId="0" fontId="27" fillId="0" borderId="13" xfId="1" applyFont="1" applyBorder="1" applyAlignment="1">
      <alignment horizontal="center" vertical="center" wrapText="1"/>
    </xf>
    <xf numFmtId="49" fontId="25" fillId="0" borderId="13" xfId="1" applyNumberFormat="1" applyFont="1" applyBorder="1" applyAlignment="1">
      <alignment horizontal="center" vertical="center" wrapText="1"/>
    </xf>
    <xf numFmtId="3" fontId="25" fillId="0" borderId="13" xfId="1" applyNumberFormat="1" applyFont="1" applyBorder="1" applyAlignment="1">
      <alignment horizontal="center" vertical="center" wrapText="1"/>
    </xf>
    <xf numFmtId="0" fontId="25" fillId="0" borderId="0" xfId="1" applyFont="1" applyAlignment="1">
      <alignment horizontal="center" vertical="center" wrapText="1"/>
    </xf>
    <xf numFmtId="49" fontId="25" fillId="0" borderId="0" xfId="1" applyNumberFormat="1" applyFont="1" applyAlignment="1">
      <alignment horizontal="center" vertical="center" wrapText="1"/>
    </xf>
    <xf numFmtId="0" fontId="25" fillId="0" borderId="0" xfId="1" applyFont="1" applyAlignment="1">
      <alignment vertical="center" wrapText="1"/>
    </xf>
    <xf numFmtId="3" fontId="25" fillId="0" borderId="0" xfId="1" applyNumberFormat="1" applyFont="1" applyAlignment="1">
      <alignment horizontal="center" vertical="center" wrapText="1"/>
    </xf>
    <xf numFmtId="0" fontId="23" fillId="0" borderId="1" xfId="1" applyFont="1" applyBorder="1" applyAlignment="1">
      <alignment horizontal="center"/>
    </xf>
    <xf numFmtId="0" fontId="15" fillId="0" borderId="13" xfId="1" applyFont="1" applyBorder="1" applyAlignment="1">
      <alignment horizontal="center" vertical="center" textRotation="90" wrapText="1"/>
    </xf>
    <xf numFmtId="0" fontId="15" fillId="0" borderId="13" xfId="1" applyFont="1" applyBorder="1" applyAlignment="1">
      <alignment horizontal="center" vertical="center" wrapText="1"/>
    </xf>
    <xf numFmtId="0" fontId="26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5" fillId="0" borderId="1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13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164" fontId="15" fillId="0" borderId="7" xfId="1" applyNumberFormat="1" applyFont="1" applyBorder="1" applyAlignment="1">
      <alignment horizontal="center" vertical="center" textRotation="90" wrapText="1"/>
    </xf>
    <xf numFmtId="164" fontId="15" fillId="0" borderId="12" xfId="1" applyNumberFormat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/>
    </xf>
    <xf numFmtId="0" fontId="15" fillId="0" borderId="7" xfId="1" applyFont="1" applyBorder="1" applyAlignment="1">
      <alignment horizontal="center" vertical="center"/>
    </xf>
    <xf numFmtId="0" fontId="15" fillId="0" borderId="12" xfId="1" applyFont="1" applyBorder="1" applyAlignment="1">
      <alignment horizontal="center" vertic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7" xfId="1" applyFont="1" applyBorder="1" applyAlignment="1">
      <alignment horizontal="center" vertical="center" textRotation="90" wrapText="1"/>
    </xf>
    <xf numFmtId="0" fontId="15" fillId="0" borderId="12" xfId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5" fillId="0" borderId="7" xfId="1" applyFont="1" applyBorder="1" applyAlignment="1">
      <alignment horizontal="center" vertical="center" textRotation="90" wrapText="1" readingOrder="1"/>
    </xf>
    <xf numFmtId="0" fontId="15" fillId="0" borderId="12" xfId="1" applyFont="1" applyBorder="1" applyAlignment="1">
      <alignment horizontal="center" vertical="center" textRotation="90" wrapText="1" readingOrder="1"/>
    </xf>
    <xf numFmtId="0" fontId="16" fillId="0" borderId="4" xfId="1" applyFont="1" applyBorder="1" applyAlignment="1">
      <alignment horizontal="center" vertical="center" wrapText="1"/>
    </xf>
    <xf numFmtId="0" fontId="16" fillId="0" borderId="5" xfId="1" applyFont="1" applyBorder="1" applyAlignment="1">
      <alignment horizontal="center" vertical="center" wrapText="1"/>
    </xf>
    <xf numFmtId="0" fontId="16" fillId="0" borderId="6" xfId="1" applyFont="1" applyBorder="1" applyAlignment="1">
      <alignment horizontal="center" vertical="center" wrapText="1"/>
    </xf>
    <xf numFmtId="0" fontId="16" fillId="0" borderId="8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8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9" xfId="1" applyFont="1" applyBorder="1" applyAlignment="1">
      <alignment horizontal="center" vertical="center" wrapText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3" borderId="12" xfId="1" applyFont="1" applyFill="1" applyBorder="1" applyAlignment="1">
      <alignment horizontal="center" vertical="center" textRotation="90" wrapText="1"/>
    </xf>
    <xf numFmtId="0" fontId="15" fillId="0" borderId="10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11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textRotation="90" wrapText="1"/>
    </xf>
    <xf numFmtId="0" fontId="16" fillId="0" borderId="12" xfId="1" applyFont="1" applyBorder="1" applyAlignment="1">
      <alignment horizontal="center" vertical="center" textRotation="90" wrapText="1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tabSelected="1" zoomScale="150" zoomScaleNormal="85" workbookViewId="0">
      <selection activeCell="C4" sqref="C4"/>
    </sheetView>
  </sheetViews>
  <sheetFormatPr baseColWidth="10" defaultColWidth="8.83203125" defaultRowHeight="15" x14ac:dyDescent="0.2"/>
  <cols>
    <col min="1" max="1" width="32.1640625" style="38" customWidth="1"/>
    <col min="2" max="2" width="12.5" style="42" customWidth="1"/>
    <col min="3" max="3" width="6.5" style="38" customWidth="1"/>
    <col min="4" max="16384" width="8.83203125" style="38"/>
  </cols>
  <sheetData>
    <row r="1" spans="1:3" ht="17" x14ac:dyDescent="0.2">
      <c r="A1" s="55" t="s">
        <v>28</v>
      </c>
      <c r="B1" s="55"/>
      <c r="C1" s="55"/>
    </row>
    <row r="2" spans="1:3" ht="24.5" customHeight="1" x14ac:dyDescent="0.2">
      <c r="A2" s="56" t="s">
        <v>29</v>
      </c>
      <c r="B2" s="57" t="s">
        <v>30</v>
      </c>
      <c r="C2" s="57"/>
    </row>
    <row r="3" spans="1:3" ht="68" customHeight="1" x14ac:dyDescent="0.2">
      <c r="A3" s="56"/>
      <c r="B3" s="39" t="s">
        <v>31</v>
      </c>
      <c r="C3" s="39" t="s">
        <v>32</v>
      </c>
    </row>
    <row r="4" spans="1:3" ht="14.5" customHeight="1" x14ac:dyDescent="0.2">
      <c r="A4" s="40"/>
      <c r="B4" s="41"/>
      <c r="C4" s="41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B14" sqref="B14"/>
    </sheetView>
  </sheetViews>
  <sheetFormatPr baseColWidth="10" defaultColWidth="9.83203125" defaultRowHeight="16" x14ac:dyDescent="0.2"/>
  <cols>
    <col min="1" max="1" width="7.5" style="43" customWidth="1"/>
    <col min="2" max="2" width="34.33203125" style="43" customWidth="1"/>
    <col min="3" max="3" width="10.83203125" style="43" customWidth="1"/>
    <col min="4" max="6" width="22" style="43" customWidth="1"/>
    <col min="7" max="16384" width="9.83203125" style="43"/>
  </cols>
  <sheetData>
    <row r="1" spans="1:6" ht="18" customHeight="1" x14ac:dyDescent="0.2">
      <c r="E1" s="58" t="s">
        <v>33</v>
      </c>
      <c r="F1" s="58"/>
    </row>
    <row r="2" spans="1:6" ht="19.5" customHeight="1" x14ac:dyDescent="0.2">
      <c r="E2" s="58"/>
      <c r="F2" s="58"/>
    </row>
    <row r="3" spans="1:6" ht="18" customHeight="1" x14ac:dyDescent="0.2">
      <c r="E3" s="58"/>
      <c r="F3" s="58"/>
    </row>
    <row r="4" spans="1:6" x14ac:dyDescent="0.2">
      <c r="E4" s="44"/>
    </row>
    <row r="5" spans="1:6" x14ac:dyDescent="0.2">
      <c r="A5" s="59" t="s">
        <v>34</v>
      </c>
      <c r="B5" s="59"/>
      <c r="C5" s="59"/>
      <c r="D5" s="59"/>
      <c r="E5" s="59"/>
      <c r="F5" s="59"/>
    </row>
    <row r="6" spans="1:6" x14ac:dyDescent="0.2">
      <c r="A6" s="60" t="s">
        <v>35</v>
      </c>
      <c r="B6" s="60"/>
      <c r="C6" s="60"/>
      <c r="D6" s="60"/>
      <c r="E6" s="60"/>
      <c r="F6" s="60"/>
    </row>
    <row r="7" spans="1:6" ht="46.5" customHeight="1" x14ac:dyDescent="0.2">
      <c r="A7" s="57" t="s">
        <v>36</v>
      </c>
      <c r="B7" s="57"/>
      <c r="C7" s="57" t="s">
        <v>37</v>
      </c>
      <c r="D7" s="57"/>
      <c r="E7" s="57" t="s">
        <v>38</v>
      </c>
      <c r="F7" s="57" t="s">
        <v>39</v>
      </c>
    </row>
    <row r="8" spans="1:6" ht="14.5" customHeight="1" x14ac:dyDescent="0.2">
      <c r="A8" s="57"/>
      <c r="B8" s="57"/>
      <c r="C8" s="57"/>
      <c r="D8" s="57"/>
      <c r="E8" s="57"/>
      <c r="F8" s="57"/>
    </row>
    <row r="9" spans="1:6" s="12" customFormat="1" ht="21.5" customHeight="1" x14ac:dyDescent="0.2">
      <c r="A9" s="63"/>
      <c r="B9" s="63"/>
      <c r="C9" s="64"/>
      <c r="D9" s="64"/>
      <c r="E9" s="45"/>
      <c r="F9" s="45"/>
    </row>
    <row r="10" spans="1:6" x14ac:dyDescent="0.2">
      <c r="A10" s="46"/>
    </row>
    <row r="11" spans="1:6" ht="31" customHeight="1" x14ac:dyDescent="0.2">
      <c r="A11" s="61" t="s">
        <v>40</v>
      </c>
      <c r="B11" s="61" t="s">
        <v>41</v>
      </c>
      <c r="C11" s="61" t="s">
        <v>4</v>
      </c>
      <c r="D11" s="61" t="s">
        <v>42</v>
      </c>
      <c r="E11" s="61" t="s">
        <v>43</v>
      </c>
      <c r="F11" s="61" t="s">
        <v>44</v>
      </c>
    </row>
    <row r="12" spans="1:6" x14ac:dyDescent="0.2">
      <c r="A12" s="61"/>
      <c r="B12" s="61"/>
      <c r="C12" s="61"/>
      <c r="D12" s="61"/>
      <c r="E12" s="61"/>
      <c r="F12" s="61"/>
    </row>
    <row r="13" spans="1:6" ht="16.25" customHeight="1" x14ac:dyDescent="0.2">
      <c r="A13" s="48">
        <v>1</v>
      </c>
      <c r="B13" s="48">
        <v>2</v>
      </c>
      <c r="C13" s="48">
        <v>3</v>
      </c>
      <c r="D13" s="48">
        <v>4</v>
      </c>
      <c r="E13" s="48">
        <v>5</v>
      </c>
      <c r="F13" s="48">
        <v>6</v>
      </c>
    </row>
    <row r="14" spans="1:6" ht="17" x14ac:dyDescent="0.2">
      <c r="A14" s="47">
        <v>1</v>
      </c>
      <c r="B14" s="29"/>
      <c r="C14" s="49" t="s">
        <v>5</v>
      </c>
      <c r="D14" s="47">
        <f>SUM(OUTPUT_PAGE!G14:G15)</f>
        <v>0</v>
      </c>
      <c r="E14" s="47">
        <f>SUM(OUTPUT_PAGE!H14:H15)</f>
        <v>0</v>
      </c>
      <c r="F14" s="50" t="e">
        <f>OUTPUT_PAGE!I15</f>
        <v>#REF!</v>
      </c>
    </row>
    <row r="15" spans="1:6" x14ac:dyDescent="0.2">
      <c r="A15" s="51"/>
      <c r="B15" s="11"/>
      <c r="C15" s="52"/>
      <c r="D15" s="53"/>
      <c r="E15" s="53"/>
      <c r="F15" s="54"/>
    </row>
    <row r="16" spans="1:6" x14ac:dyDescent="0.2">
      <c r="A16" s="51"/>
      <c r="B16" s="11"/>
      <c r="C16" s="52"/>
      <c r="D16" s="53"/>
      <c r="E16" s="53"/>
      <c r="F16" s="54"/>
    </row>
    <row r="18" spans="1:5" x14ac:dyDescent="0.2">
      <c r="A18" s="62" t="s">
        <v>45</v>
      </c>
      <c r="B18" s="62"/>
      <c r="C18" s="62"/>
      <c r="D18" s="62"/>
      <c r="E18" s="62"/>
    </row>
    <row r="19" spans="1:5" x14ac:dyDescent="0.2">
      <c r="A19" s="43" t="s">
        <v>46</v>
      </c>
      <c r="E19" s="43" t="s">
        <v>47</v>
      </c>
    </row>
    <row r="21" spans="1:5" x14ac:dyDescent="0.2">
      <c r="A21" s="62" t="s">
        <v>48</v>
      </c>
      <c r="B21" s="62"/>
      <c r="C21" s="62"/>
      <c r="D21" s="62"/>
      <c r="E21" s="62"/>
    </row>
    <row r="22" spans="1:5" x14ac:dyDescent="0.2">
      <c r="A22" s="43" t="s">
        <v>49</v>
      </c>
      <c r="E22" s="43" t="s">
        <v>50</v>
      </c>
    </row>
  </sheetData>
  <mergeCells count="17"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5"/>
  <sheetViews>
    <sheetView view="pageBreakPreview" zoomScale="107" zoomScaleNormal="55" zoomScaleSheetLayoutView="55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G8" sqref="G8:G11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  <col min="22" max="16384" width="8.83203125" style="12"/>
  </cols>
  <sheetData>
    <row r="1" spans="1:21" s="2" customFormat="1" hidden="1" x14ac:dyDescent="0.2">
      <c r="A1" s="1"/>
      <c r="O1" s="2" t="s">
        <v>0</v>
      </c>
      <c r="S1" s="3" t="s">
        <v>1</v>
      </c>
      <c r="U1" s="1">
        <f>F5</f>
        <v>0</v>
      </c>
    </row>
    <row r="2" spans="1:21" s="6" customFormat="1" ht="19.75" customHeight="1" x14ac:dyDescent="0.2">
      <c r="A2" s="4"/>
      <c r="B2" s="5"/>
      <c r="O2" s="65" t="s">
        <v>2</v>
      </c>
      <c r="P2" s="65"/>
      <c r="Q2" s="65"/>
      <c r="R2" s="65"/>
      <c r="S2" s="66"/>
      <c r="T2" s="66"/>
      <c r="U2" s="66"/>
    </row>
    <row r="3" spans="1:21" s="6" customFormat="1" ht="19.75" customHeight="1" x14ac:dyDescent="0.25">
      <c r="A3" s="4"/>
      <c r="B3" s="7" t="s">
        <v>3</v>
      </c>
      <c r="O3" s="65" t="s">
        <v>4</v>
      </c>
      <c r="P3" s="65"/>
      <c r="Q3" s="65"/>
      <c r="R3" s="65"/>
      <c r="S3" s="67" t="s">
        <v>5</v>
      </c>
      <c r="T3" s="67"/>
      <c r="U3" s="67"/>
    </row>
    <row r="4" spans="1:21" s="6" customFormat="1" ht="19.75" customHeight="1" x14ac:dyDescent="0.2">
      <c r="A4" s="4"/>
      <c r="O4" s="65" t="s">
        <v>6</v>
      </c>
      <c r="P4" s="65"/>
      <c r="Q4" s="65"/>
      <c r="R4" s="65"/>
      <c r="S4" s="66" t="s">
        <v>7</v>
      </c>
      <c r="T4" s="66"/>
      <c r="U4" s="66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68" t="s">
        <v>8</v>
      </c>
      <c r="P5" s="68"/>
      <c r="Q5" s="68"/>
      <c r="R5" s="68"/>
      <c r="S5" s="69"/>
      <c r="T5" s="69"/>
      <c r="U5" s="69"/>
    </row>
    <row r="6" spans="1:21" ht="18" x14ac:dyDescent="0.2">
      <c r="A6" s="70" t="s">
        <v>9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1" t="s">
        <v>10</v>
      </c>
      <c r="P6" s="71"/>
      <c r="Q6" s="71"/>
      <c r="R6" s="71"/>
      <c r="S6" s="71"/>
      <c r="T6" s="71"/>
      <c r="U6" s="71"/>
    </row>
    <row r="7" spans="1:21" x14ac:dyDescent="0.2">
      <c r="O7" s="14"/>
      <c r="P7" s="14"/>
      <c r="Q7" s="14"/>
      <c r="R7" s="14"/>
      <c r="S7" s="14"/>
      <c r="T7" s="14"/>
      <c r="U7" s="14"/>
    </row>
    <row r="8" spans="1:21" s="6" customFormat="1" ht="16.5" customHeight="1" x14ac:dyDescent="0.2">
      <c r="A8" s="72" t="s">
        <v>11</v>
      </c>
      <c r="B8" s="75" t="s">
        <v>12</v>
      </c>
      <c r="C8" s="78" t="s">
        <v>13</v>
      </c>
      <c r="D8" s="78" t="s">
        <v>14</v>
      </c>
      <c r="E8" s="78" t="s">
        <v>15</v>
      </c>
      <c r="F8" s="78" t="s">
        <v>16</v>
      </c>
      <c r="G8" s="81" t="s">
        <v>17</v>
      </c>
      <c r="H8" s="78" t="s">
        <v>18</v>
      </c>
      <c r="I8" s="84" t="s">
        <v>19</v>
      </c>
      <c r="J8" s="85"/>
      <c r="K8" s="85"/>
      <c r="L8" s="85"/>
      <c r="M8" s="85"/>
      <c r="N8" s="86"/>
      <c r="O8" s="90" t="s">
        <v>27</v>
      </c>
      <c r="P8" s="91"/>
      <c r="Q8" s="91"/>
      <c r="R8" s="91"/>
      <c r="S8" s="91"/>
      <c r="T8" s="92"/>
      <c r="U8" s="12"/>
    </row>
    <row r="9" spans="1:21" ht="26.5" customHeight="1" x14ac:dyDescent="0.2">
      <c r="A9" s="73"/>
      <c r="B9" s="76"/>
      <c r="C9" s="79"/>
      <c r="D9" s="79"/>
      <c r="E9" s="79"/>
      <c r="F9" s="79"/>
      <c r="G9" s="82"/>
      <c r="H9" s="79"/>
      <c r="I9" s="87"/>
      <c r="J9" s="88"/>
      <c r="K9" s="88"/>
      <c r="L9" s="88"/>
      <c r="M9" s="88"/>
      <c r="N9" s="89"/>
      <c r="O9" s="93"/>
      <c r="P9" s="94"/>
      <c r="Q9" s="94"/>
      <c r="R9" s="94"/>
      <c r="S9" s="94"/>
      <c r="T9" s="95"/>
    </row>
    <row r="10" spans="1:21" ht="15.5" customHeight="1" x14ac:dyDescent="0.2">
      <c r="A10" s="73"/>
      <c r="B10" s="76"/>
      <c r="C10" s="79"/>
      <c r="D10" s="79"/>
      <c r="E10" s="79"/>
      <c r="F10" s="79"/>
      <c r="G10" s="82"/>
      <c r="H10" s="79"/>
      <c r="I10" s="96" t="s">
        <v>20</v>
      </c>
      <c r="J10" s="98" t="s">
        <v>21</v>
      </c>
      <c r="K10" s="99"/>
      <c r="L10" s="99"/>
      <c r="M10" s="99"/>
      <c r="N10" s="100"/>
      <c r="O10" s="101" t="s">
        <v>20</v>
      </c>
      <c r="P10" s="98" t="s">
        <v>21</v>
      </c>
      <c r="Q10" s="99"/>
      <c r="R10" s="99"/>
      <c r="S10" s="99"/>
      <c r="T10" s="100"/>
    </row>
    <row r="11" spans="1:21" ht="66.5" customHeight="1" x14ac:dyDescent="0.2">
      <c r="A11" s="74"/>
      <c r="B11" s="77"/>
      <c r="C11" s="80"/>
      <c r="D11" s="80"/>
      <c r="E11" s="80"/>
      <c r="F11" s="80"/>
      <c r="G11" s="83"/>
      <c r="H11" s="80"/>
      <c r="I11" s="97"/>
      <c r="J11" s="15" t="s">
        <v>22</v>
      </c>
      <c r="K11" s="15" t="s">
        <v>23</v>
      </c>
      <c r="L11" s="15" t="s">
        <v>24</v>
      </c>
      <c r="M11" s="15" t="s">
        <v>25</v>
      </c>
      <c r="N11" s="15" t="s">
        <v>26</v>
      </c>
      <c r="O11" s="102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</row>
    <row r="12" spans="1:21" s="20" customFormat="1" x14ac:dyDescent="0.2">
      <c r="A12" s="16">
        <v>1</v>
      </c>
      <c r="B12" s="16">
        <v>2</v>
      </c>
      <c r="C12" s="16">
        <v>3</v>
      </c>
      <c r="D12" s="16">
        <v>4</v>
      </c>
      <c r="E12" s="16">
        <v>5</v>
      </c>
      <c r="F12" s="16">
        <v>6</v>
      </c>
      <c r="G12" s="16">
        <v>7</v>
      </c>
      <c r="H12" s="17">
        <v>8</v>
      </c>
      <c r="I12" s="18">
        <v>9</v>
      </c>
      <c r="J12" s="16">
        <v>10</v>
      </c>
      <c r="K12" s="16">
        <v>11</v>
      </c>
      <c r="L12" s="16">
        <v>12</v>
      </c>
      <c r="M12" s="16">
        <v>13</v>
      </c>
      <c r="N12" s="19">
        <v>14</v>
      </c>
      <c r="O12" s="18">
        <v>15</v>
      </c>
      <c r="P12" s="16">
        <v>16</v>
      </c>
      <c r="Q12" s="16">
        <v>17</v>
      </c>
      <c r="R12" s="16">
        <v>18</v>
      </c>
      <c r="S12" s="16">
        <v>19</v>
      </c>
      <c r="T12" s="16">
        <v>20</v>
      </c>
      <c r="U12" s="12"/>
    </row>
    <row r="13" spans="1:21" s="28" customFormat="1" ht="40.75" customHeight="1" x14ac:dyDescent="0.2">
      <c r="A13" s="21"/>
      <c r="B13" s="22"/>
      <c r="C13" s="23"/>
      <c r="D13" s="21"/>
      <c r="E13" s="23"/>
      <c r="F13" s="23"/>
      <c r="G13" s="23"/>
      <c r="H13" s="24"/>
      <c r="I13" s="25" t="e">
        <f>SUM(O13+#REF!+#REF!+#REF!)</f>
        <v>#REF!</v>
      </c>
      <c r="J13" s="26" t="e">
        <f>P13+#REF!+#REF!++#REF!</f>
        <v>#REF!</v>
      </c>
      <c r="K13" s="26" t="e">
        <f>Q13+#REF!+#REF!++#REF!</f>
        <v>#REF!</v>
      </c>
      <c r="L13" s="26" t="e">
        <f>R13+#REF!+#REF!++#REF!</f>
        <v>#REF!</v>
      </c>
      <c r="M13" s="26" t="e">
        <f>S13+#REF!+#REF!++#REF!</f>
        <v>#REF!</v>
      </c>
      <c r="N13" s="26" t="e">
        <f>T13+#REF!+#REF!++#REF!</f>
        <v>#REF!</v>
      </c>
      <c r="O13" s="27">
        <f>SUM(P13:T13)</f>
        <v>0</v>
      </c>
      <c r="P13" s="23"/>
      <c r="Q13" s="23"/>
      <c r="R13" s="23"/>
      <c r="S13" s="23"/>
      <c r="T13" s="23"/>
      <c r="U13" s="12"/>
    </row>
    <row r="14" spans="1:21" s="37" customFormat="1" ht="40.75" customHeight="1" x14ac:dyDescent="0.2">
      <c r="A14" s="30"/>
      <c r="B14" s="31"/>
      <c r="C14" s="32"/>
      <c r="D14" s="30"/>
      <c r="E14" s="32"/>
      <c r="F14" s="32"/>
      <c r="G14" s="32"/>
      <c r="H14" s="33"/>
      <c r="I14" s="34" t="e">
        <f>SUM(O14+#REF!+#REF!+#REF!)</f>
        <v>#REF!</v>
      </c>
      <c r="J14" s="35" t="e">
        <f>P14+#REF!+#REF!++#REF!</f>
        <v>#REF!</v>
      </c>
      <c r="K14" s="35" t="e">
        <f>Q14+#REF!+#REF!++#REF!</f>
        <v>#REF!</v>
      </c>
      <c r="L14" s="35" t="e">
        <f>R14+#REF!+#REF!++#REF!</f>
        <v>#REF!</v>
      </c>
      <c r="M14" s="35" t="e">
        <f>S14+#REF!+#REF!++#REF!</f>
        <v>#REF!</v>
      </c>
      <c r="N14" s="35" t="e">
        <f>T14+#REF!+#REF!++#REF!</f>
        <v>#REF!</v>
      </c>
      <c r="O14" s="36">
        <f>SUM(P14:T14)</f>
        <v>0</v>
      </c>
      <c r="P14" s="32"/>
      <c r="Q14" s="32"/>
      <c r="R14" s="32"/>
      <c r="S14" s="32"/>
      <c r="T14" s="32"/>
      <c r="U14" s="12"/>
    </row>
    <row r="15" spans="1:21" s="37" customFormat="1" ht="40.75" customHeight="1" x14ac:dyDescent="0.2">
      <c r="A15" s="30"/>
      <c r="B15" s="31"/>
      <c r="C15" s="32"/>
      <c r="D15" s="30"/>
      <c r="E15" s="32"/>
      <c r="F15" s="32"/>
      <c r="G15" s="32"/>
      <c r="H15" s="33"/>
      <c r="I15" s="34" t="e">
        <f>SUM(O15+#REF!+#REF!+#REF!)</f>
        <v>#REF!</v>
      </c>
      <c r="J15" s="35" t="e">
        <f>P15+#REF!+#REF!++#REF!</f>
        <v>#REF!</v>
      </c>
      <c r="K15" s="35" t="e">
        <f>Q15+#REF!+#REF!++#REF!</f>
        <v>#REF!</v>
      </c>
      <c r="L15" s="35" t="e">
        <f>R15+#REF!+#REF!++#REF!</f>
        <v>#REF!</v>
      </c>
      <c r="M15" s="35" t="e">
        <f>S15+#REF!+#REF!++#REF!</f>
        <v>#REF!</v>
      </c>
      <c r="N15" s="35" t="e">
        <f>T15+#REF!+#REF!++#REF!</f>
        <v>#REF!</v>
      </c>
      <c r="O15" s="36">
        <f>SUM(P15:T15)</f>
        <v>0</v>
      </c>
      <c r="P15" s="32">
        <f>P14-G15</f>
        <v>0</v>
      </c>
      <c r="Q15" s="32"/>
      <c r="R15" s="32"/>
      <c r="S15" s="32"/>
      <c r="T15" s="32"/>
      <c r="U15" s="12"/>
    </row>
  </sheetData>
  <dataConsolidate/>
  <mergeCells count="24">
    <mergeCell ref="O10:O11"/>
    <mergeCell ref="P10:T10"/>
    <mergeCell ref="O5:R5"/>
    <mergeCell ref="S5:U5"/>
    <mergeCell ref="A6:N6"/>
    <mergeCell ref="O6:U6"/>
    <mergeCell ref="A8:A11"/>
    <mergeCell ref="B8:B11"/>
    <mergeCell ref="C8:C11"/>
    <mergeCell ref="D8:D11"/>
    <mergeCell ref="E8:E11"/>
    <mergeCell ref="F8:F11"/>
    <mergeCell ref="G8:G11"/>
    <mergeCell ref="H8:H11"/>
    <mergeCell ref="I8:N9"/>
    <mergeCell ref="O8:T9"/>
    <mergeCell ref="I10:I11"/>
    <mergeCell ref="J10:N10"/>
    <mergeCell ref="O2:R2"/>
    <mergeCell ref="S2:U2"/>
    <mergeCell ref="O3:R3"/>
    <mergeCell ref="S3:U3"/>
    <mergeCell ref="O4:R4"/>
    <mergeCell ref="S4:U4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2026-01-15T14:30:20Z</dcterms:modified>
</cp:coreProperties>
</file>